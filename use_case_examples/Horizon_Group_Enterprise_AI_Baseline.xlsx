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Adoption by Business Line" sheetId="2" state="visible" r:id="rId4"/>
    <sheet name="Readiness" sheetId="3" state="visible" r:id="rId5"/>
    <sheet name="Benchmark vs Study" sheetId="4" state="visible" r:id="rId6"/>
    <sheet name="Use Cases" sheetId="5" state="visible" r:id="rId7"/>
    <sheet name="Investment Request" sheetId="6" state="visible" r:id="rId8"/>
    <sheet name="Targe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Demo input: employees with a licensed, policy-approved AI tool (fictional).</t>
        </r>
      </text>
    </comment>
    <comment ref="E4" authorId="0">
      <text>
        <r>
          <rPr>
            <sz val="10"/>
            <rFont val="Arial"/>
            <family val="2"/>
          </rPr>
          <t xml:space="preserve">Demo input: employees using an approved AI tool at least weekly in Q3 2026 (fictional).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Study states 'under 60%'; 60% is shown as the reference ceiling.</t>
        </r>
      </text>
    </comment>
    <comment ref="C6" authorId="0">
      <text>
        <r>
          <rPr>
            <sz val="10"/>
            <rFont val="Arial"/>
            <family val="2"/>
          </rPr>
          <t xml:space="preserve">Study states 'fewer than 60%'; 60% is shown as the reference ceiling.</t>
        </r>
      </text>
    </comment>
    <comment ref="C7" authorId="0">
      <text>
        <r>
          <rPr>
            <sz val="10"/>
            <rFont val="Arial"/>
            <family val="2"/>
          </rPr>
          <t xml:space="preserve">40% is the threshold reached by 25% of organisations in the study, not an average.</t>
        </r>
      </text>
    </comment>
  </commentList>
</comments>
</file>

<file path=xl/sharedStrings.xml><?xml version="1.0" encoding="utf-8"?>
<sst xmlns="http://schemas.openxmlformats.org/spreadsheetml/2006/main" count="248" uniqueCount="212">
  <si>
    <t xml:space="preserve">Horizon Industrial Group - Enterprise AI baseline (DEMO DATA)</t>
  </si>
  <si>
    <t xml:space="preserve">Illustrative figures for a fictional organisation, built to demo Executive Presentation Studio</t>
  </si>
  <si>
    <t xml:space="preserve">Purpose</t>
  </si>
  <si>
    <t xml:space="preserve">Baseline of AI adoption by business line, readiness self-assessment, comparison with a published study, and the USD 15m board request (infrastructure, use-case definition, first implementations).</t>
  </si>
  <si>
    <t xml:space="preserve">Organisation</t>
  </si>
  <si>
    <t xml:space="preserve">Horizon Industrial Group is fictional. All organisation figures in this workbook are invented for the demo.</t>
  </si>
  <si>
    <t xml:space="preserve">Benchmark study</t>
  </si>
  <si>
    <t xml:space="preserve">Deloitte AI Institute, State of AI in the Enterprise 2026 - The untapped edge (Jan 2026)</t>
  </si>
  <si>
    <t xml:space="preserve">Study method</t>
  </si>
  <si>
    <t xml:space="preserve">Survey of 3,235 director- to C-suite leaders in 24 countries, fielded Aug-Sep 2025 (report p.7 and Methodology).</t>
  </si>
  <si>
    <t xml:space="preserve">Study PDF</t>
  </si>
  <si>
    <t xml:space="preserve">https://www.deloitte.com/content/dam/assets-shared/docs/about/2025/state-of-ai-2026-global.pdf</t>
  </si>
  <si>
    <t xml:space="preserve">Colour code</t>
  </si>
  <si>
    <t xml:space="preserve">Blue text = input (edit these); black = formula; green = link to another sheet; yellow fill = key assumption.</t>
  </si>
  <si>
    <t xml:space="preserve">Sheets</t>
  </si>
  <si>
    <t xml:space="preserve">Adoption by Business Line | Readiness | Benchmark vs Study | Use Cases | Investment Request | Targets</t>
  </si>
  <si>
    <t xml:space="preserve">Date</t>
  </si>
  <si>
    <t xml:space="preserve">Prepared October 2026</t>
  </si>
  <si>
    <t xml:space="preserve">AI adoption by business line - current state (Q3 2026)</t>
  </si>
  <si>
    <t xml:space="preserve">Fictional organisation. Inputs in blue; access, usage and conversion rates are calculated.</t>
  </si>
  <si>
    <t xml:space="preserve">Business line</t>
  </si>
  <si>
    <t xml:space="preserve">Headcount</t>
  </si>
  <si>
    <t xml:space="preserve">Employees with sanctioned AI access</t>
  </si>
  <si>
    <t xml:space="preserve">Access rate (% of headcount)</t>
  </si>
  <si>
    <t xml:space="preserve">Weekly active AI users</t>
  </si>
  <si>
    <t xml:space="preserve">Active use (% of those with access)</t>
  </si>
  <si>
    <t xml:space="preserve">Active users (% of headcount)</t>
  </si>
  <si>
    <t xml:space="preserve">Use-case ideas logged</t>
  </si>
  <si>
    <t xml:space="preserve">Use cases in pilot</t>
  </si>
  <si>
    <t xml:space="preserve">Use cases in production</t>
  </si>
  <si>
    <t xml:space="preserve">Pilot-to-production rate</t>
  </si>
  <si>
    <t xml:space="preserve">AI spend 2026 (USD k)</t>
  </si>
  <si>
    <t xml:space="preserve">Data readiness (1-5)</t>
  </si>
  <si>
    <t xml:space="preserve">Main barrier reported</t>
  </si>
  <si>
    <t xml:space="preserve">Finance</t>
  </si>
  <si>
    <t xml:space="preserve">Reconciliation data spread over two ERPs</t>
  </si>
  <si>
    <t xml:space="preserve">Human Resources</t>
  </si>
  <si>
    <t xml:space="preserve">Policy and privacy approval for employee data</t>
  </si>
  <si>
    <t xml:space="preserve">Procurement</t>
  </si>
  <si>
    <t xml:space="preserve">Supplier master data incomplete</t>
  </si>
  <si>
    <t xml:space="preserve">Supply Chain &amp; Logistics</t>
  </si>
  <si>
    <t xml:space="preserve">No real-time feed from warehouse systems</t>
  </si>
  <si>
    <t xml:space="preserve">Operations &amp; Manufacturing</t>
  </si>
  <si>
    <t xml:space="preserve">Sensor data not historised; no GPU capacity on site</t>
  </si>
  <si>
    <t xml:space="preserve">Sales &amp; Marketing</t>
  </si>
  <si>
    <t xml:space="preserve">CRM data quality</t>
  </si>
  <si>
    <t xml:space="preserve">Customer Service</t>
  </si>
  <si>
    <t xml:space="preserve">Knowledge base out of date</t>
  </si>
  <si>
    <t xml:space="preserve">Information Technology</t>
  </si>
  <si>
    <t xml:space="preserve">Shadow AI tools outside policy</t>
  </si>
  <si>
    <t xml:space="preserve">Legal &amp; Compliance</t>
  </si>
  <si>
    <t xml:space="preserve">No approved tool for confidential documents</t>
  </si>
  <si>
    <t xml:space="preserve">Engineering &amp; R&amp;D</t>
  </si>
  <si>
    <t xml:space="preserve">Drawings and specs not searchable</t>
  </si>
  <si>
    <t xml:space="preserve">Total / group</t>
  </si>
  <si>
    <t xml:space="preserve">Headcount-weighted readiness</t>
  </si>
  <si>
    <t xml:space="preserve">Definitions: 'sanctioned access' = licensed, policy-approved AI tool; 'weekly active' = used at least once a week in Q3 2026.</t>
  </si>
  <si>
    <t xml:space="preserve">Pilot-to-production rate = use cases in production / (in pilot + in production). Ideas are not counted.</t>
  </si>
  <si>
    <t xml:space="preserve">Data readiness: 1 = data not available or not usable, 3 = usable with manual effort, 5 = governed, real-time, AI-ready.</t>
  </si>
  <si>
    <t xml:space="preserve">All figures fictional (demo data).</t>
  </si>
  <si>
    <t xml:space="preserve">AI readiness self-assessment vs study</t>
  </si>
  <si>
    <t xml:space="preserve">Score 1 (not prepared) to 5 (highly prepared). 'Highly prepared' = score 4 or 5.</t>
  </si>
  <si>
    <t xml:space="preserve">Dimension</t>
  </si>
  <si>
    <t xml:space="preserve">Our score (1-5)</t>
  </si>
  <si>
    <t xml:space="preserve">Our rating</t>
  </si>
  <si>
    <t xml:space="preserve">Study: share of organisations 'highly prepared'</t>
  </si>
  <si>
    <t xml:space="preserve">Evidence for our score</t>
  </si>
  <si>
    <t xml:space="preserve">Study source</t>
  </si>
  <si>
    <t xml:space="preserve">Strategy</t>
  </si>
  <si>
    <t xml:space="preserve">AI ambition stated in 2026 plan; no funded roadmap or owner per business line.</t>
  </si>
  <si>
    <t xml:space="preserve">p.28: 42% highly prepared (up 3 pts)</t>
  </si>
  <si>
    <t xml:space="preserve">Risk &amp; governance</t>
  </si>
  <si>
    <t xml:space="preserve">Acceptable-use policy issued 2025; no model risk process, no agent oversight.</t>
  </si>
  <si>
    <t xml:space="preserve">p.28: 30% highly prepared (up 6 pts)</t>
  </si>
  <si>
    <t xml:space="preserve">Technical infrastructure</t>
  </si>
  <si>
    <t xml:space="preserve">No GPU or private AI platform; AI tools run on public SaaS only; integration point-to-point.</t>
  </si>
  <si>
    <t xml:space="preserve">p.28: 43% highly prepared (down)</t>
  </si>
  <si>
    <t xml:space="preserve">Data management</t>
  </si>
  <si>
    <t xml:space="preserve">Two ERPs, no enterprise data platform; master data quality issues in 4 of 10 lines.</t>
  </si>
  <si>
    <t xml:space="preserve">p.28: 40% highly prepared (down)</t>
  </si>
  <si>
    <t xml:space="preserve">Talent</t>
  </si>
  <si>
    <t xml:space="preserve">12 data/AI specialists, all in IT; no AI training programme for the business.</t>
  </si>
  <si>
    <t xml:space="preserve">p.28: 20% highly prepared (down)</t>
  </si>
  <si>
    <t xml:space="preserve">Average score</t>
  </si>
  <si>
    <t xml:space="preserve">Scores are a fictional self-assessment. Study figures: Deloitte AI Institute, State of AI in the Enterprise 2026 - The untapped edge (Jan 2026), p.28.</t>
  </si>
  <si>
    <t xml:space="preserve">Horizon Group vs Deloitte State of AI in the Enterprise 2026</t>
  </si>
  <si>
    <t xml:space="preserve">Our figures are linked from the other sheets (green). Study figures are quoted from the report.</t>
  </si>
  <si>
    <t xml:space="preserve">Measure</t>
  </si>
  <si>
    <t xml:space="preserve">Horizon Group</t>
  </si>
  <si>
    <t xml:space="preserve">Study figure</t>
  </si>
  <si>
    <t xml:space="preserve">What the study says</t>
  </si>
  <si>
    <t xml:space="preserve">Page</t>
  </si>
  <si>
    <t xml:space="preserve">Workers with sanctioned access to AI tools</t>
  </si>
  <si>
    <t xml:space="preserve">Access rose from under 40% to under 60% of workers in one year; leaders (11% of companies) give &gt;80% access.</t>
  </si>
  <si>
    <t xml:space="preserve">p.8</t>
  </si>
  <si>
    <t xml:space="preserve">Of those with access, share using AI in daily work</t>
  </si>
  <si>
    <t xml:space="preserve">Fewer than 60% of workers with access use AI in their daily workflow. (Our measure is weekly use.)</t>
  </si>
  <si>
    <t xml:space="preserve">Share of AI pilots moved into production</t>
  </si>
  <si>
    <t xml:space="preserve">25% of organisations have moved 40% or more of their AI experiments into production; 54% expect to within 3-6 months.</t>
  </si>
  <si>
    <t xml:space="preserve">Technical infrastructure highly prepared</t>
  </si>
  <si>
    <t xml:space="preserve">43% of organisations rate technical infrastructure highly prepared.</t>
  </si>
  <si>
    <t xml:space="preserve">p.28</t>
  </si>
  <si>
    <t xml:space="preserve">Data management highly prepared</t>
  </si>
  <si>
    <t xml:space="preserve">40% rate data management highly prepared.</t>
  </si>
  <si>
    <t xml:space="preserve">Talent highly prepared</t>
  </si>
  <si>
    <t xml:space="preserve">20% rate talent highly prepared.</t>
  </si>
  <si>
    <t xml:space="preserve">Risk &amp; governance highly prepared</t>
  </si>
  <si>
    <t xml:space="preserve">30% rate risk and governance highly prepared.</t>
  </si>
  <si>
    <t xml:space="preserve">Organisations increasing AI investment</t>
  </si>
  <si>
    <t xml:space="preserve">84% of organisations are increasing their AI investments.</t>
  </si>
  <si>
    <t xml:space="preserve">p.10</t>
  </si>
  <si>
    <t xml:space="preserve">Growing revenue through AI today</t>
  </si>
  <si>
    <t xml:space="preserve">Not yet</t>
  </si>
  <si>
    <t xml:space="preserve">20% already grow revenue through AI; 74% hope to.</t>
  </si>
  <si>
    <t xml:space="preserve">Source: Deloitte AI Institute, State of AI in the Enterprise 2026 - The untapped edge (Jan 2026), https://www.deloitte.com/content/dam/assets-shared/docs/about/2025/state-of-ai-2026-global.pdf</t>
  </si>
  <si>
    <t xml:space="preserve">Candidate AI use cases - first wave selection</t>
  </si>
  <si>
    <t xml:space="preserve">Indicative estimates, to be validated in Workstream B (use-case definition). 'Yes' rows are funded in this request.</t>
  </si>
  <si>
    <t xml:space="preserve">#</t>
  </si>
  <si>
    <t xml:space="preserve">Use case</t>
  </si>
  <si>
    <t xml:space="preserve">What it does</t>
  </si>
  <si>
    <t xml:space="preserve">Indicative annual benefit (USD m)</t>
  </si>
  <si>
    <t xml:space="preserve">Implementation cost (USD m)</t>
  </si>
  <si>
    <t xml:space="preserve">Complexity</t>
  </si>
  <si>
    <t xml:space="preserve">Selected for first wave</t>
  </si>
  <si>
    <t xml:space="preserve">Simple payback (years)</t>
  </si>
  <si>
    <t xml:space="preserve">Customer service AI assistant</t>
  </si>
  <si>
    <t xml:space="preserve">Drafts answers from the knowledge base; summarises cases for agents.</t>
  </si>
  <si>
    <t xml:space="preserve">Medium</t>
  </si>
  <si>
    <t xml:space="preserve">Yes</t>
  </si>
  <si>
    <t xml:space="preserve">Invoice and payables automation</t>
  </si>
  <si>
    <t xml:space="preserve">Reads invoices, matches to POs, routes exceptions.</t>
  </si>
  <si>
    <t xml:space="preserve">Low</t>
  </si>
  <si>
    <t xml:space="preserve">Demand forecasting</t>
  </si>
  <si>
    <t xml:space="preserve">Weekly SKU-level forecast from orders, seasonality and promotions.</t>
  </si>
  <si>
    <t xml:space="preserve">High</t>
  </si>
  <si>
    <t xml:space="preserve">Predictive maintenance</t>
  </si>
  <si>
    <t xml:space="preserve">Flags failing equipment from sensor data before breakdown.</t>
  </si>
  <si>
    <t xml:space="preserve">Spend analytics</t>
  </si>
  <si>
    <t xml:space="preserve">Classifies spend and finds consolidation savings.</t>
  </si>
  <si>
    <t xml:space="preserve">No</t>
  </si>
  <si>
    <t xml:space="preserve">Contract review assistant</t>
  </si>
  <si>
    <t xml:space="preserve">Highlights non-standard clauses against playbook.</t>
  </si>
  <si>
    <t xml:space="preserve">Proposal and quote drafting</t>
  </si>
  <si>
    <t xml:space="preserve">First drafts of proposals from CRM and product data.</t>
  </si>
  <si>
    <t xml:space="preserve">Engineering knowledge search</t>
  </si>
  <si>
    <t xml:space="preserve">Searches drawings, specs and past projects in plain language.</t>
  </si>
  <si>
    <t xml:space="preserve">IT service desk agent</t>
  </si>
  <si>
    <t xml:space="preserve">Resolves password, access and how-to tickets end to end.</t>
  </si>
  <si>
    <t xml:space="preserve">HR policy assistant</t>
  </si>
  <si>
    <t xml:space="preserve">Answers employee policy questions in English and Arabic.</t>
  </si>
  <si>
    <t xml:space="preserve">Selected (first wave)</t>
  </si>
  <si>
    <t xml:space="preserve">All candidates</t>
  </si>
  <si>
    <t xml:space="preserve">Benefits are fictional, indicative annual run-rate after go-live. Change 'Selected' to Yes/No to re-cut the first wave; the Investment Request sheet updates automatically.</t>
  </si>
  <si>
    <t xml:space="preserve">Board request: USD 15m Enterprise AI programme (2027 - H1 2028)</t>
  </si>
  <si>
    <t xml:space="preserve">Total request (USD m)</t>
  </si>
  <si>
    <t xml:space="preserve">Requested envelope</t>
  </si>
  <si>
    <t xml:space="preserve">Workstream / line item</t>
  </si>
  <si>
    <t xml:space="preserve">What it buys</t>
  </si>
  <si>
    <t xml:space="preserve">Amount (USD m)</t>
  </si>
  <si>
    <t xml:space="preserve">H1 2027</t>
  </si>
  <si>
    <t xml:space="preserve">H2 2027</t>
  </si>
  <si>
    <t xml:space="preserve">H1 2028</t>
  </si>
  <si>
    <t xml:space="preserve">Phasing check</t>
  </si>
  <si>
    <t xml:space="preserve">Spend H1 2027 (USD m)</t>
  </si>
  <si>
    <t xml:space="preserve">Spend H2 2027 (USD m)</t>
  </si>
  <si>
    <t xml:space="preserve">Spend H1 2028 (USD m)</t>
  </si>
  <si>
    <t xml:space="preserve">A. Infrastructure upgrade</t>
  </si>
  <si>
    <t xml:space="preserve">   Secure AI platform and compute</t>
  </si>
  <si>
    <t xml:space="preserve">Private AI platform and GPU capacity for models that cannot run on public SaaS.</t>
  </si>
  <si>
    <t xml:space="preserve">   Enterprise data platform and integration</t>
  </si>
  <si>
    <t xml:space="preserve">Data platform, pipelines from both ERPs, plant and warehouse systems; master data clean-up.</t>
  </si>
  <si>
    <t xml:space="preserve">   Security, identity and AI governance tooling</t>
  </si>
  <si>
    <t xml:space="preserve">Access control, monitoring, model and agent oversight, audit logging.</t>
  </si>
  <si>
    <t xml:space="preserve">   Sanctioned AI tools rollout</t>
  </si>
  <si>
    <t xml:space="preserve">Licences and enablement to reach 60% of staff with approved AI tools.</t>
  </si>
  <si>
    <t xml:space="preserve">B. Use-case identification and definition</t>
  </si>
  <si>
    <t xml:space="preserve">   Use-case discovery across 10 business lines</t>
  </si>
  <si>
    <t xml:space="preserve">Workshops, process mapping, value and feasibility scoring.</t>
  </si>
  <si>
    <t xml:space="preserve">   Business cases and prioritisation</t>
  </si>
  <si>
    <t xml:space="preserve">Validated business cases for the top 15 use cases; second-wave pipeline.</t>
  </si>
  <si>
    <t xml:space="preserve">   AI Centre of Excellence and governance</t>
  </si>
  <si>
    <t xml:space="preserve">Core team, policies, training for 1,000 staff, value tracking.</t>
  </si>
  <si>
    <t xml:space="preserve">C. First implementations</t>
  </si>
  <si>
    <t xml:space="preserve">   Four priority use cases (see Use Cases sheet)</t>
  </si>
  <si>
    <t xml:space="preserve">Customer service assistant, invoice automation, demand forecasting, predictive maintenance.</t>
  </si>
  <si>
    <t xml:space="preserve">D. Contingency</t>
  </si>
  <si>
    <t xml:space="preserve">   Programme contingency</t>
  </si>
  <si>
    <t xml:space="preserve">Held centrally; released by the steering committee.</t>
  </si>
  <si>
    <t xml:space="preserve">Total programme</t>
  </si>
  <si>
    <t xml:space="preserve">Value case (first wave)</t>
  </si>
  <si>
    <t xml:space="preserve">Indicative annual benefit of first-wave use cases (USD m)</t>
  </si>
  <si>
    <t xml:space="preserve">Simple payback on the full USD 15m (years)</t>
  </si>
  <si>
    <t xml:space="preserve">Share of request on infrastructure</t>
  </si>
  <si>
    <t xml:space="preserve">All amounts fictional (demo). Phasing percentages per line must total 100% (column G). Payback excludes second-wave use cases enabled by the same infrastructure.</t>
  </si>
  <si>
    <t xml:space="preserve">Programme targets: today vs end of H1 2028</t>
  </si>
  <si>
    <t xml:space="preserve">Current values link to the baseline (green); targets are inputs (blue).</t>
  </si>
  <si>
    <t xml:space="preserve">Today (Q3 2026)</t>
  </si>
  <si>
    <t xml:space="preserve">Target (H1 2028)</t>
  </si>
  <si>
    <t xml:space="preserve">Change</t>
  </si>
  <si>
    <t xml:space="preserve">Why this target</t>
  </si>
  <si>
    <t xml:space="preserve">Workers with sanctioned AI access</t>
  </si>
  <si>
    <t xml:space="preserve">Matches the study's current ceiling ('under 60%'), p.8.</t>
  </si>
  <si>
    <t xml:space="preserve">Active use among those with access</t>
  </si>
  <si>
    <t xml:space="preserve">Study: fewer than 60% of those with access use AI daily, p.8.</t>
  </si>
  <si>
    <t xml:space="preserve">7 today + 4 first-wave + 4 second-wave on the new platform.</t>
  </si>
  <si>
    <t xml:space="preserve">Reach the 40% level that 25% of organisations in the study have reached, p.8.</t>
  </si>
  <si>
    <t xml:space="preserve">Technical infrastructure score (1-5)</t>
  </si>
  <si>
    <t xml:space="preserve">'Highly prepared' = 4+; study: 43% of organisations, p.28.</t>
  </si>
  <si>
    <t xml:space="preserve">Data management score (1-5)</t>
  </si>
  <si>
    <t xml:space="preserve">Study: 40% highly prepared, p.28.</t>
  </si>
  <si>
    <t xml:space="preserve">Talent score (1-5)</t>
  </si>
  <si>
    <t xml:space="preserve">Study: only 20% highly prepared; 3 is a realistic step, p.28.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</si>
</sst>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"/>
    <numFmt numFmtId="169" formatCode="0.0;\(0.0\);\-"/>
    <numFmt numFmtId="170" formatCode="\$#,##0.0;&quot;($&quot;#,##0.0\);\-"/>
    <numFmt numFmtId="171" formatCode="\+0;\-0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eloitte.com/content/dam/assets-shared/docs/about/2025/state-of-ai-2026-global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5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</sheetData>
  <hyperlinks>
    <hyperlink ref="B8" r:id="rId1" display="https://www.deloitte.com/content/dam/assets-shared/docs/about/2025/state-of-ai-2026-global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42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</row>
    <row r="5" customFormat="false" ht="15" hidden="false" customHeight="false" outlineLevel="0" collapsed="false">
      <c r="A5" s="7" t="s">
        <v>34</v>
      </c>
      <c r="B5" s="8" t="n">
        <v>420</v>
      </c>
      <c r="C5" s="8" t="n">
        <v>95</v>
      </c>
      <c r="D5" s="9" t="n">
        <f aca="false">IF(B5=0,0,C5/B5)</f>
        <v>0.226190476190476</v>
      </c>
      <c r="E5" s="8" t="n">
        <v>41</v>
      </c>
      <c r="F5" s="9" t="n">
        <f aca="false">IF(C5=0,0,E5/C5)</f>
        <v>0.431578947368421</v>
      </c>
      <c r="G5" s="9" t="n">
        <f aca="false">IF(B5=0,0,E5/B5)</f>
        <v>0.0976190476190476</v>
      </c>
      <c r="H5" s="8" t="n">
        <v>9</v>
      </c>
      <c r="I5" s="8" t="n">
        <v>3</v>
      </c>
      <c r="J5" s="8" t="n">
        <v>1</v>
      </c>
      <c r="K5" s="9" t="n">
        <f aca="false">IF((I5+J5)=0,0,J5/(I5+J5))</f>
        <v>0.25</v>
      </c>
      <c r="L5" s="10" t="n">
        <v>180</v>
      </c>
      <c r="M5" s="11" t="n">
        <v>3</v>
      </c>
      <c r="N5" s="12" t="s">
        <v>35</v>
      </c>
    </row>
    <row r="6" customFormat="false" ht="15" hidden="false" customHeight="false" outlineLevel="0" collapsed="false">
      <c r="A6" s="7" t="s">
        <v>36</v>
      </c>
      <c r="B6" s="8" t="n">
        <v>260</v>
      </c>
      <c r="C6" s="8" t="n">
        <v>40</v>
      </c>
      <c r="D6" s="9" t="n">
        <f aca="false">IF(B6=0,0,C6/B6)</f>
        <v>0.153846153846154</v>
      </c>
      <c r="E6" s="8" t="n">
        <v>14</v>
      </c>
      <c r="F6" s="9" t="n">
        <f aca="false">IF(C6=0,0,E6/C6)</f>
        <v>0.35</v>
      </c>
      <c r="G6" s="9" t="n">
        <f aca="false">IF(B6=0,0,E6/B6)</f>
        <v>0.0538461538461539</v>
      </c>
      <c r="H6" s="8" t="n">
        <v>6</v>
      </c>
      <c r="I6" s="8" t="n">
        <v>1</v>
      </c>
      <c r="J6" s="8" t="n">
        <v>0</v>
      </c>
      <c r="K6" s="9" t="n">
        <f aca="false">IF((I6+J6)=0,0,J6/(I6+J6))</f>
        <v>0</v>
      </c>
      <c r="L6" s="10" t="n">
        <v>60</v>
      </c>
      <c r="M6" s="11" t="n">
        <v>2</v>
      </c>
      <c r="N6" s="12" t="s">
        <v>37</v>
      </c>
    </row>
    <row r="7" customFormat="false" ht="15" hidden="false" customHeight="false" outlineLevel="0" collapsed="false">
      <c r="A7" s="7" t="s">
        <v>38</v>
      </c>
      <c r="B7" s="8" t="n">
        <v>310</v>
      </c>
      <c r="C7" s="8" t="n">
        <v>35</v>
      </c>
      <c r="D7" s="9" t="n">
        <f aca="false">IF(B7=0,0,C7/B7)</f>
        <v>0.112903225806452</v>
      </c>
      <c r="E7" s="8" t="n">
        <v>12</v>
      </c>
      <c r="F7" s="9" t="n">
        <f aca="false">IF(C7=0,0,E7/C7)</f>
        <v>0.342857142857143</v>
      </c>
      <c r="G7" s="9" t="n">
        <f aca="false">IF(B7=0,0,E7/B7)</f>
        <v>0.0387096774193548</v>
      </c>
      <c r="H7" s="8" t="n">
        <v>7</v>
      </c>
      <c r="I7" s="8" t="n">
        <v>2</v>
      </c>
      <c r="J7" s="8" t="n">
        <v>0</v>
      </c>
      <c r="K7" s="9" t="n">
        <f aca="false">IF((I7+J7)=0,0,J7/(I7+J7))</f>
        <v>0</v>
      </c>
      <c r="L7" s="10" t="n">
        <v>75</v>
      </c>
      <c r="M7" s="11" t="n">
        <v>2</v>
      </c>
      <c r="N7" s="12" t="s">
        <v>39</v>
      </c>
    </row>
    <row r="8" customFormat="false" ht="15" hidden="false" customHeight="false" outlineLevel="0" collapsed="false">
      <c r="A8" s="7" t="s">
        <v>40</v>
      </c>
      <c r="B8" s="8" t="n">
        <v>1450</v>
      </c>
      <c r="C8" s="8" t="n">
        <v>120</v>
      </c>
      <c r="D8" s="9" t="n">
        <f aca="false">IF(B8=0,0,C8/B8)</f>
        <v>0.0827586206896552</v>
      </c>
      <c r="E8" s="8" t="n">
        <v>38</v>
      </c>
      <c r="F8" s="9" t="n">
        <f aca="false">IF(C8=0,0,E8/C8)</f>
        <v>0.316666666666667</v>
      </c>
      <c r="G8" s="9" t="n">
        <f aca="false">IF(B8=0,0,E8/B8)</f>
        <v>0.0262068965517241</v>
      </c>
      <c r="H8" s="8" t="n">
        <v>11</v>
      </c>
      <c r="I8" s="8" t="n">
        <v>3</v>
      </c>
      <c r="J8" s="8" t="n">
        <v>1</v>
      </c>
      <c r="K8" s="9" t="n">
        <f aca="false">IF((I8+J8)=0,0,J8/(I8+J8))</f>
        <v>0.25</v>
      </c>
      <c r="L8" s="10" t="n">
        <v>240</v>
      </c>
      <c r="M8" s="11" t="n">
        <v>2</v>
      </c>
      <c r="N8" s="12" t="s">
        <v>41</v>
      </c>
    </row>
    <row r="9" customFormat="false" ht="23.85" hidden="false" customHeight="false" outlineLevel="0" collapsed="false">
      <c r="A9" s="7" t="s">
        <v>42</v>
      </c>
      <c r="B9" s="8" t="n">
        <v>3200</v>
      </c>
      <c r="C9" s="8" t="n">
        <v>150</v>
      </c>
      <c r="D9" s="9" t="n">
        <f aca="false">IF(B9=0,0,C9/B9)</f>
        <v>0.046875</v>
      </c>
      <c r="E9" s="8" t="n">
        <v>42</v>
      </c>
      <c r="F9" s="9" t="n">
        <f aca="false">IF(C9=0,0,E9/C9)</f>
        <v>0.28</v>
      </c>
      <c r="G9" s="9" t="n">
        <f aca="false">IF(B9=0,0,E9/B9)</f>
        <v>0.013125</v>
      </c>
      <c r="H9" s="8" t="n">
        <v>14</v>
      </c>
      <c r="I9" s="8" t="n">
        <v>4</v>
      </c>
      <c r="J9" s="8" t="n">
        <v>1</v>
      </c>
      <c r="K9" s="9" t="n">
        <f aca="false">IF((I9+J9)=0,0,J9/(I9+J9))</f>
        <v>0.2</v>
      </c>
      <c r="L9" s="10" t="n">
        <v>310</v>
      </c>
      <c r="M9" s="11" t="n">
        <v>2</v>
      </c>
      <c r="N9" s="12" t="s">
        <v>43</v>
      </c>
    </row>
    <row r="10" customFormat="false" ht="15" hidden="false" customHeight="false" outlineLevel="0" collapsed="false">
      <c r="A10" s="7" t="s">
        <v>44</v>
      </c>
      <c r="B10" s="8" t="n">
        <v>680</v>
      </c>
      <c r="C10" s="8" t="n">
        <v>165</v>
      </c>
      <c r="D10" s="9" t="n">
        <f aca="false">IF(B10=0,0,C10/B10)</f>
        <v>0.242647058823529</v>
      </c>
      <c r="E10" s="8" t="n">
        <v>70</v>
      </c>
      <c r="F10" s="9" t="n">
        <f aca="false">IF(C10=0,0,E10/C10)</f>
        <v>0.424242424242424</v>
      </c>
      <c r="G10" s="9" t="n">
        <f aca="false">IF(B10=0,0,E10/B10)</f>
        <v>0.102941176470588</v>
      </c>
      <c r="H10" s="8" t="n">
        <v>10</v>
      </c>
      <c r="I10" s="8" t="n">
        <v>3</v>
      </c>
      <c r="J10" s="8" t="n">
        <v>1</v>
      </c>
      <c r="K10" s="9" t="n">
        <f aca="false">IF((I10+J10)=0,0,J10/(I10+J10))</f>
        <v>0.25</v>
      </c>
      <c r="L10" s="10" t="n">
        <v>220</v>
      </c>
      <c r="M10" s="11" t="n">
        <v>3</v>
      </c>
      <c r="N10" s="12" t="s">
        <v>45</v>
      </c>
    </row>
    <row r="11" customFormat="false" ht="15" hidden="false" customHeight="false" outlineLevel="0" collapsed="false">
      <c r="A11" s="7" t="s">
        <v>46</v>
      </c>
      <c r="B11" s="8" t="n">
        <v>540</v>
      </c>
      <c r="C11" s="8" t="n">
        <v>110</v>
      </c>
      <c r="D11" s="9" t="n">
        <f aca="false">IF(B11=0,0,C11/B11)</f>
        <v>0.203703703703704</v>
      </c>
      <c r="E11" s="8" t="n">
        <v>52</v>
      </c>
      <c r="F11" s="9" t="n">
        <f aca="false">IF(C11=0,0,E11/C11)</f>
        <v>0.472727272727273</v>
      </c>
      <c r="G11" s="9" t="n">
        <f aca="false">IF(B11=0,0,E11/B11)</f>
        <v>0.0962962962962963</v>
      </c>
      <c r="H11" s="8" t="n">
        <v>8</v>
      </c>
      <c r="I11" s="8" t="n">
        <v>2</v>
      </c>
      <c r="J11" s="8" t="n">
        <v>1</v>
      </c>
      <c r="K11" s="9" t="n">
        <f aca="false">IF((I11+J11)=0,0,J11/(I11+J11))</f>
        <v>0.333333333333333</v>
      </c>
      <c r="L11" s="10" t="n">
        <v>190</v>
      </c>
      <c r="M11" s="11" t="n">
        <v>3</v>
      </c>
      <c r="N11" s="12" t="s">
        <v>47</v>
      </c>
    </row>
    <row r="12" customFormat="false" ht="15" hidden="false" customHeight="false" outlineLevel="0" collapsed="false">
      <c r="A12" s="7" t="s">
        <v>48</v>
      </c>
      <c r="B12" s="8" t="n">
        <v>380</v>
      </c>
      <c r="C12" s="8" t="n">
        <v>210</v>
      </c>
      <c r="D12" s="9" t="n">
        <f aca="false">IF(B12=0,0,C12/B12)</f>
        <v>0.552631578947369</v>
      </c>
      <c r="E12" s="8" t="n">
        <v>118</v>
      </c>
      <c r="F12" s="9" t="n">
        <f aca="false">IF(C12=0,0,E12/C12)</f>
        <v>0.561904761904762</v>
      </c>
      <c r="G12" s="9" t="n">
        <f aca="false">IF(B12=0,0,E12/B12)</f>
        <v>0.310526315789474</v>
      </c>
      <c r="H12" s="8" t="n">
        <v>12</v>
      </c>
      <c r="I12" s="8" t="n">
        <v>5</v>
      </c>
      <c r="J12" s="8" t="n">
        <v>2</v>
      </c>
      <c r="K12" s="9" t="n">
        <f aca="false">IF((I12+J12)=0,0,J12/(I12+J12))</f>
        <v>0.285714285714286</v>
      </c>
      <c r="L12" s="10" t="n">
        <v>520</v>
      </c>
      <c r="M12" s="11" t="n">
        <v>4</v>
      </c>
      <c r="N12" s="12" t="s">
        <v>49</v>
      </c>
    </row>
    <row r="13" customFormat="false" ht="15" hidden="false" customHeight="false" outlineLevel="0" collapsed="false">
      <c r="A13" s="7" t="s">
        <v>50</v>
      </c>
      <c r="B13" s="8" t="n">
        <v>90</v>
      </c>
      <c r="C13" s="8" t="n">
        <v>12</v>
      </c>
      <c r="D13" s="9" t="n">
        <f aca="false">IF(B13=0,0,C13/B13)</f>
        <v>0.133333333333333</v>
      </c>
      <c r="E13" s="8" t="n">
        <v>4</v>
      </c>
      <c r="F13" s="9" t="n">
        <f aca="false">IF(C13=0,0,E13/C13)</f>
        <v>0.333333333333333</v>
      </c>
      <c r="G13" s="9" t="n">
        <f aca="false">IF(B13=0,0,E13/B13)</f>
        <v>0.0444444444444444</v>
      </c>
      <c r="H13" s="8" t="n">
        <v>4</v>
      </c>
      <c r="I13" s="8" t="n">
        <v>1</v>
      </c>
      <c r="J13" s="8" t="n">
        <v>0</v>
      </c>
      <c r="K13" s="9" t="n">
        <f aca="false">IF((I13+J13)=0,0,J13/(I13+J13))</f>
        <v>0</v>
      </c>
      <c r="L13" s="10" t="n">
        <v>30</v>
      </c>
      <c r="M13" s="11" t="n">
        <v>2</v>
      </c>
      <c r="N13" s="12" t="s">
        <v>51</v>
      </c>
    </row>
    <row r="14" customFormat="false" ht="15" hidden="false" customHeight="false" outlineLevel="0" collapsed="false">
      <c r="A14" s="7" t="s">
        <v>52</v>
      </c>
      <c r="B14" s="8" t="n">
        <v>470</v>
      </c>
      <c r="C14" s="8" t="n">
        <v>95</v>
      </c>
      <c r="D14" s="9" t="n">
        <f aca="false">IF(B14=0,0,C14/B14)</f>
        <v>0.202127659574468</v>
      </c>
      <c r="E14" s="8" t="n">
        <v>37</v>
      </c>
      <c r="F14" s="9" t="n">
        <f aca="false">IF(C14=0,0,E14/C14)</f>
        <v>0.389473684210526</v>
      </c>
      <c r="G14" s="9" t="n">
        <f aca="false">IF(B14=0,0,E14/B14)</f>
        <v>0.0787234042553192</v>
      </c>
      <c r="H14" s="8" t="n">
        <v>9</v>
      </c>
      <c r="I14" s="8" t="n">
        <v>2</v>
      </c>
      <c r="J14" s="8" t="n">
        <v>0</v>
      </c>
      <c r="K14" s="9" t="n">
        <f aca="false">IF((I14+J14)=0,0,J14/(I14+J14))</f>
        <v>0</v>
      </c>
      <c r="L14" s="10" t="n">
        <v>160</v>
      </c>
      <c r="M14" s="11" t="n">
        <v>3</v>
      </c>
      <c r="N14" s="12" t="s">
        <v>53</v>
      </c>
    </row>
    <row r="15" customFormat="false" ht="15" hidden="false" customHeight="false" outlineLevel="0" collapsed="false">
      <c r="A15" s="13" t="s">
        <v>54</v>
      </c>
      <c r="B15" s="14" t="n">
        <f aca="false">SUM(B5:B14)</f>
        <v>7800</v>
      </c>
      <c r="C15" s="14" t="n">
        <f aca="false">SUM(C5:C14)</f>
        <v>1032</v>
      </c>
      <c r="D15" s="15" t="n">
        <f aca="false">IF(B15=0,0,C15/B15)</f>
        <v>0.132307692307692</v>
      </c>
      <c r="E15" s="14" t="n">
        <f aca="false">SUM(E5:E14)</f>
        <v>428</v>
      </c>
      <c r="F15" s="15" t="n">
        <f aca="false">IF(C15=0,0,E15/C15)</f>
        <v>0.414728682170543</v>
      </c>
      <c r="G15" s="15" t="n">
        <f aca="false">IF(B15=0,0,E15/B15)</f>
        <v>0.0548717948717949</v>
      </c>
      <c r="H15" s="14" t="n">
        <f aca="false">SUM(H5:H14)</f>
        <v>90</v>
      </c>
      <c r="I15" s="14" t="n">
        <f aca="false">SUM(I5:I14)</f>
        <v>26</v>
      </c>
      <c r="J15" s="14" t="n">
        <f aca="false">SUM(J5:J14)</f>
        <v>7</v>
      </c>
      <c r="K15" s="15" t="n">
        <f aca="false">IF((I15+J15)=0,0,J15/(I15+J15))</f>
        <v>0.212121212121212</v>
      </c>
      <c r="L15" s="16" t="n">
        <f aca="false">SUM(L5:L14)</f>
        <v>1985</v>
      </c>
      <c r="M15" s="17" t="n">
        <f aca="false">SUMPRODUCT(B5:B14,M5:M14)/B15</f>
        <v>2.36794871794872</v>
      </c>
      <c r="N15" s="18" t="s">
        <v>55</v>
      </c>
    </row>
    <row r="17" customFormat="false" ht="15" hidden="false" customHeight="false" outlineLevel="0" collapsed="false">
      <c r="A17" s="2" t="s">
        <v>56</v>
      </c>
    </row>
    <row r="18" customFormat="false" ht="15" hidden="false" customHeight="false" outlineLevel="0" collapsed="false">
      <c r="A18" s="2" t="s">
        <v>57</v>
      </c>
    </row>
    <row r="19" customFormat="false" ht="15" hidden="false" customHeight="false" outlineLevel="0" collapsed="false">
      <c r="A19" s="2" t="s">
        <v>58</v>
      </c>
    </row>
    <row r="20" customFormat="false" ht="15" hidden="false" customHeight="false" outlineLevel="0" collapsed="false">
      <c r="A20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62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42" hidden="false" customHeight="true" outlineLevel="0" collapsed="false">
      <c r="A4" s="6" t="s">
        <v>62</v>
      </c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</row>
    <row r="5" customFormat="false" ht="30" hidden="false" customHeight="true" outlineLevel="0" collapsed="false">
      <c r="A5" s="7" t="s">
        <v>68</v>
      </c>
      <c r="B5" s="11" t="n">
        <v>3</v>
      </c>
      <c r="C5" s="7" t="str">
        <f aca="false">IF(B5&gt;=4,"Highly prepared",IF(B5=3,"Partly prepared","Not prepared"))</f>
        <v>Partly prepared</v>
      </c>
      <c r="D5" s="19" t="n">
        <v>0.42</v>
      </c>
      <c r="E5" s="12" t="s">
        <v>69</v>
      </c>
      <c r="F5" s="12" t="s">
        <v>70</v>
      </c>
    </row>
    <row r="6" customFormat="false" ht="30" hidden="false" customHeight="true" outlineLevel="0" collapsed="false">
      <c r="A6" s="7" t="s">
        <v>71</v>
      </c>
      <c r="B6" s="11" t="n">
        <v>2</v>
      </c>
      <c r="C6" s="7" t="str">
        <f aca="false">IF(B6&gt;=4,"Highly prepared",IF(B6=3,"Partly prepared","Not prepared"))</f>
        <v>Not prepared</v>
      </c>
      <c r="D6" s="19" t="n">
        <v>0.3</v>
      </c>
      <c r="E6" s="12" t="s">
        <v>72</v>
      </c>
      <c r="F6" s="12" t="s">
        <v>73</v>
      </c>
    </row>
    <row r="7" customFormat="false" ht="30" hidden="false" customHeight="true" outlineLevel="0" collapsed="false">
      <c r="A7" s="7" t="s">
        <v>74</v>
      </c>
      <c r="B7" s="11" t="n">
        <v>1</v>
      </c>
      <c r="C7" s="7" t="str">
        <f aca="false">IF(B7&gt;=4,"Highly prepared",IF(B7=3,"Partly prepared","Not prepared"))</f>
        <v>Not prepared</v>
      </c>
      <c r="D7" s="19" t="n">
        <v>0.43</v>
      </c>
      <c r="E7" s="12" t="s">
        <v>75</v>
      </c>
      <c r="F7" s="12" t="s">
        <v>76</v>
      </c>
    </row>
    <row r="8" customFormat="false" ht="30" hidden="false" customHeight="true" outlineLevel="0" collapsed="false">
      <c r="A8" s="7" t="s">
        <v>77</v>
      </c>
      <c r="B8" s="11" t="n">
        <v>2</v>
      </c>
      <c r="C8" s="7" t="str">
        <f aca="false">IF(B8&gt;=4,"Highly prepared",IF(B8=3,"Partly prepared","Not prepared"))</f>
        <v>Not prepared</v>
      </c>
      <c r="D8" s="19" t="n">
        <v>0.4</v>
      </c>
      <c r="E8" s="12" t="s">
        <v>78</v>
      </c>
      <c r="F8" s="12" t="s">
        <v>79</v>
      </c>
    </row>
    <row r="9" customFormat="false" ht="30" hidden="false" customHeight="true" outlineLevel="0" collapsed="false">
      <c r="A9" s="7" t="s">
        <v>80</v>
      </c>
      <c r="B9" s="11" t="n">
        <v>2</v>
      </c>
      <c r="C9" s="7" t="str">
        <f aca="false">IF(B9&gt;=4,"Highly prepared",IF(B9=3,"Partly prepared","Not prepared"))</f>
        <v>Not prepared</v>
      </c>
      <c r="D9" s="19" t="n">
        <v>0.2</v>
      </c>
      <c r="E9" s="12" t="s">
        <v>81</v>
      </c>
      <c r="F9" s="12" t="s">
        <v>82</v>
      </c>
    </row>
    <row r="10" customFormat="false" ht="15" hidden="false" customHeight="false" outlineLevel="0" collapsed="false">
      <c r="A10" s="13" t="s">
        <v>83</v>
      </c>
      <c r="B10" s="17" t="n">
        <f aca="false">AVERAGE(B5:B9)</f>
        <v>2</v>
      </c>
      <c r="C10" s="13" t="str">
        <f aca="false">COUNTIF(C5:C9,"Highly prepared")&amp;" of 5 highly prepared"</f>
        <v>0 of 5 highly prepared</v>
      </c>
    </row>
    <row r="12" customFormat="false" ht="15" hidden="false" customHeight="false" outlineLevel="0" collapsed="false">
      <c r="A12" s="2" t="s">
        <v>84</v>
      </c>
    </row>
  </sheetData>
  <dataValidations count="1">
    <dataValidation allowBlank="false" errorStyle="stop" operator="between" showDropDown="false" showErrorMessage="false" showInputMessage="false" sqref="B5:B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7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42" hidden="false" customHeight="true" outlineLevel="0" collapsed="false">
      <c r="A4" s="6" t="s">
        <v>87</v>
      </c>
      <c r="B4" s="6" t="s">
        <v>88</v>
      </c>
      <c r="C4" s="6" t="s">
        <v>89</v>
      </c>
      <c r="D4" s="6" t="s">
        <v>90</v>
      </c>
      <c r="E4" s="6" t="s">
        <v>91</v>
      </c>
    </row>
    <row r="5" customFormat="false" ht="30" hidden="false" customHeight="true" outlineLevel="0" collapsed="false">
      <c r="A5" s="12" t="s">
        <v>92</v>
      </c>
      <c r="B5" s="20" t="n">
        <f aca="false">'Adoption by Business Line'!D15</f>
        <v>0.132307692307692</v>
      </c>
      <c r="C5" s="21" t="n">
        <v>0.6</v>
      </c>
      <c r="D5" s="12" t="s">
        <v>93</v>
      </c>
      <c r="E5" s="22" t="s">
        <v>94</v>
      </c>
    </row>
    <row r="6" customFormat="false" ht="30" hidden="false" customHeight="true" outlineLevel="0" collapsed="false">
      <c r="A6" s="12" t="s">
        <v>95</v>
      </c>
      <c r="B6" s="20" t="n">
        <f aca="false">'Adoption by Business Line'!F15</f>
        <v>0.414728682170543</v>
      </c>
      <c r="C6" s="21" t="n">
        <v>0.6</v>
      </c>
      <c r="D6" s="12" t="s">
        <v>96</v>
      </c>
      <c r="E6" s="22" t="s">
        <v>94</v>
      </c>
    </row>
    <row r="7" customFormat="false" ht="30" hidden="false" customHeight="true" outlineLevel="0" collapsed="false">
      <c r="A7" s="12" t="s">
        <v>97</v>
      </c>
      <c r="B7" s="20" t="n">
        <f aca="false">'Adoption by Business Line'!K15</f>
        <v>0.212121212121212</v>
      </c>
      <c r="C7" s="21" t="n">
        <v>0.4</v>
      </c>
      <c r="D7" s="12" t="s">
        <v>98</v>
      </c>
      <c r="E7" s="22" t="s">
        <v>94</v>
      </c>
    </row>
    <row r="8" customFormat="false" ht="30" hidden="false" customHeight="true" outlineLevel="0" collapsed="false">
      <c r="A8" s="12" t="s">
        <v>99</v>
      </c>
      <c r="B8" s="23" t="str">
        <f aca="false">Readiness!C7</f>
        <v>Not prepared</v>
      </c>
      <c r="C8" s="21" t="n">
        <v>0.43</v>
      </c>
      <c r="D8" s="12" t="s">
        <v>100</v>
      </c>
      <c r="E8" s="22" t="s">
        <v>101</v>
      </c>
    </row>
    <row r="9" customFormat="false" ht="30" hidden="false" customHeight="true" outlineLevel="0" collapsed="false">
      <c r="A9" s="12" t="s">
        <v>102</v>
      </c>
      <c r="B9" s="23" t="str">
        <f aca="false">Readiness!C8</f>
        <v>Not prepared</v>
      </c>
      <c r="C9" s="21" t="n">
        <v>0.4</v>
      </c>
      <c r="D9" s="12" t="s">
        <v>103</v>
      </c>
      <c r="E9" s="22" t="s">
        <v>101</v>
      </c>
    </row>
    <row r="10" customFormat="false" ht="30" hidden="false" customHeight="true" outlineLevel="0" collapsed="false">
      <c r="A10" s="12" t="s">
        <v>104</v>
      </c>
      <c r="B10" s="23" t="str">
        <f aca="false">Readiness!C9</f>
        <v>Not prepared</v>
      </c>
      <c r="C10" s="21" t="n">
        <v>0.2</v>
      </c>
      <c r="D10" s="12" t="s">
        <v>105</v>
      </c>
      <c r="E10" s="22" t="s">
        <v>101</v>
      </c>
    </row>
    <row r="11" customFormat="false" ht="30" hidden="false" customHeight="true" outlineLevel="0" collapsed="false">
      <c r="A11" s="12" t="s">
        <v>106</v>
      </c>
      <c r="B11" s="23" t="str">
        <f aca="false">Readiness!C6</f>
        <v>Not prepared</v>
      </c>
      <c r="C11" s="21" t="n">
        <v>0.3</v>
      </c>
      <c r="D11" s="12" t="s">
        <v>107</v>
      </c>
      <c r="E11" s="22" t="s">
        <v>101</v>
      </c>
    </row>
    <row r="12" customFormat="false" ht="30" hidden="false" customHeight="true" outlineLevel="0" collapsed="false">
      <c r="A12" s="12" t="s">
        <v>108</v>
      </c>
      <c r="B12" s="23" t="str">
        <f aca="false">"USD "&amp;TEXT('Investment Request'!C3,"0.0")&amp;"m proposed"</f>
        <v>USD 15.0m proposed</v>
      </c>
      <c r="C12" s="21" t="n">
        <v>0.84</v>
      </c>
      <c r="D12" s="12" t="s">
        <v>109</v>
      </c>
      <c r="E12" s="22" t="s">
        <v>110</v>
      </c>
    </row>
    <row r="13" customFormat="false" ht="30" hidden="false" customHeight="true" outlineLevel="0" collapsed="false">
      <c r="A13" s="12" t="s">
        <v>111</v>
      </c>
      <c r="B13" s="24" t="s">
        <v>112</v>
      </c>
      <c r="C13" s="21" t="n">
        <v>0.2</v>
      </c>
      <c r="D13" s="12" t="s">
        <v>113</v>
      </c>
      <c r="E13" s="22" t="s">
        <v>110</v>
      </c>
    </row>
    <row r="15" customFormat="false" ht="15" hidden="false" customHeight="false" outlineLevel="0" collapsed="false">
      <c r="A15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6" min="5" style="0" width="13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42" hidden="false" customHeight="true" outlineLevel="0" collapsed="false">
      <c r="A4" s="6" t="s">
        <v>117</v>
      </c>
      <c r="B4" s="6" t="s">
        <v>118</v>
      </c>
      <c r="C4" s="6" t="s">
        <v>20</v>
      </c>
      <c r="D4" s="6" t="s">
        <v>119</v>
      </c>
      <c r="E4" s="6" t="s">
        <v>120</v>
      </c>
      <c r="F4" s="6" t="s">
        <v>121</v>
      </c>
      <c r="G4" s="6" t="s">
        <v>122</v>
      </c>
      <c r="H4" s="6" t="s">
        <v>32</v>
      </c>
      <c r="I4" s="6" t="s">
        <v>123</v>
      </c>
      <c r="J4" s="6" t="s">
        <v>124</v>
      </c>
    </row>
    <row r="5" customFormat="false" ht="27.75" hidden="false" customHeight="true" outlineLevel="0" collapsed="false">
      <c r="A5" s="25" t="n">
        <v>1</v>
      </c>
      <c r="B5" s="12" t="s">
        <v>125</v>
      </c>
      <c r="C5" s="7" t="s">
        <v>46</v>
      </c>
      <c r="D5" s="12" t="s">
        <v>126</v>
      </c>
      <c r="E5" s="26" t="n">
        <v>1.6</v>
      </c>
      <c r="F5" s="26" t="n">
        <v>1.2</v>
      </c>
      <c r="G5" s="22" t="s">
        <v>127</v>
      </c>
      <c r="H5" s="11" t="n">
        <v>3</v>
      </c>
      <c r="I5" s="27" t="s">
        <v>128</v>
      </c>
      <c r="J5" s="28" t="n">
        <f aca="false">IF(E5=0,0,F5/E5)</f>
        <v>0.75</v>
      </c>
    </row>
    <row r="6" customFormat="false" ht="27.75" hidden="false" customHeight="true" outlineLevel="0" collapsed="false">
      <c r="A6" s="25" t="n">
        <v>2</v>
      </c>
      <c r="B6" s="12" t="s">
        <v>129</v>
      </c>
      <c r="C6" s="7" t="s">
        <v>34</v>
      </c>
      <c r="D6" s="12" t="s">
        <v>130</v>
      </c>
      <c r="E6" s="26" t="n">
        <v>0.7</v>
      </c>
      <c r="F6" s="26" t="n">
        <v>0.8</v>
      </c>
      <c r="G6" s="22" t="s">
        <v>131</v>
      </c>
      <c r="H6" s="11" t="n">
        <v>3</v>
      </c>
      <c r="I6" s="27" t="s">
        <v>128</v>
      </c>
      <c r="J6" s="28" t="n">
        <f aca="false">IF(E6=0,0,F6/E6)</f>
        <v>1.14285714285714</v>
      </c>
    </row>
    <row r="7" customFormat="false" ht="27.75" hidden="false" customHeight="true" outlineLevel="0" collapsed="false">
      <c r="A7" s="25" t="n">
        <v>3</v>
      </c>
      <c r="B7" s="12" t="s">
        <v>132</v>
      </c>
      <c r="C7" s="7" t="s">
        <v>40</v>
      </c>
      <c r="D7" s="12" t="s">
        <v>133</v>
      </c>
      <c r="E7" s="26" t="n">
        <v>1.9</v>
      </c>
      <c r="F7" s="26" t="n">
        <v>1.4</v>
      </c>
      <c r="G7" s="22" t="s">
        <v>134</v>
      </c>
      <c r="H7" s="11" t="n">
        <v>2</v>
      </c>
      <c r="I7" s="27" t="s">
        <v>128</v>
      </c>
      <c r="J7" s="28" t="n">
        <f aca="false">IF(E7=0,0,F7/E7)</f>
        <v>0.736842105263158</v>
      </c>
    </row>
    <row r="8" customFormat="false" ht="27.75" hidden="false" customHeight="true" outlineLevel="0" collapsed="false">
      <c r="A8" s="25" t="n">
        <v>4</v>
      </c>
      <c r="B8" s="12" t="s">
        <v>135</v>
      </c>
      <c r="C8" s="7" t="s">
        <v>42</v>
      </c>
      <c r="D8" s="12" t="s">
        <v>136</v>
      </c>
      <c r="E8" s="26" t="n">
        <v>1.8</v>
      </c>
      <c r="F8" s="26" t="n">
        <v>1.1</v>
      </c>
      <c r="G8" s="22" t="s">
        <v>134</v>
      </c>
      <c r="H8" s="11" t="n">
        <v>2</v>
      </c>
      <c r="I8" s="27" t="s">
        <v>128</v>
      </c>
      <c r="J8" s="28" t="n">
        <f aca="false">IF(E8=0,0,F8/E8)</f>
        <v>0.611111111111111</v>
      </c>
    </row>
    <row r="9" customFormat="false" ht="27.75" hidden="false" customHeight="true" outlineLevel="0" collapsed="false">
      <c r="A9" s="25" t="n">
        <v>5</v>
      </c>
      <c r="B9" s="12" t="s">
        <v>137</v>
      </c>
      <c r="C9" s="7" t="s">
        <v>38</v>
      </c>
      <c r="D9" s="12" t="s">
        <v>138</v>
      </c>
      <c r="E9" s="26" t="n">
        <v>0.6</v>
      </c>
      <c r="F9" s="26" t="n">
        <v>0.5</v>
      </c>
      <c r="G9" s="22" t="s">
        <v>131</v>
      </c>
      <c r="H9" s="11" t="n">
        <v>2</v>
      </c>
      <c r="I9" s="27" t="s">
        <v>139</v>
      </c>
      <c r="J9" s="28" t="n">
        <f aca="false">IF(E9=0,0,F9/E9)</f>
        <v>0.833333333333333</v>
      </c>
    </row>
    <row r="10" customFormat="false" ht="27.75" hidden="false" customHeight="true" outlineLevel="0" collapsed="false">
      <c r="A10" s="25" t="n">
        <v>6</v>
      </c>
      <c r="B10" s="12" t="s">
        <v>140</v>
      </c>
      <c r="C10" s="7" t="s">
        <v>50</v>
      </c>
      <c r="D10" s="12" t="s">
        <v>141</v>
      </c>
      <c r="E10" s="26" t="n">
        <v>0.3</v>
      </c>
      <c r="F10" s="26" t="n">
        <v>0.4</v>
      </c>
      <c r="G10" s="22" t="s">
        <v>127</v>
      </c>
      <c r="H10" s="11" t="n">
        <v>2</v>
      </c>
      <c r="I10" s="27" t="s">
        <v>139</v>
      </c>
      <c r="J10" s="28" t="n">
        <f aca="false">IF(E10=0,0,F10/E10)</f>
        <v>1.33333333333333</v>
      </c>
    </row>
    <row r="11" customFormat="false" ht="27.75" hidden="false" customHeight="true" outlineLevel="0" collapsed="false">
      <c r="A11" s="25" t="n">
        <v>7</v>
      </c>
      <c r="B11" s="12" t="s">
        <v>142</v>
      </c>
      <c r="C11" s="7" t="s">
        <v>44</v>
      </c>
      <c r="D11" s="12" t="s">
        <v>143</v>
      </c>
      <c r="E11" s="26" t="n">
        <v>0.5</v>
      </c>
      <c r="F11" s="26" t="n">
        <v>0.4</v>
      </c>
      <c r="G11" s="22" t="s">
        <v>131</v>
      </c>
      <c r="H11" s="11" t="n">
        <v>3</v>
      </c>
      <c r="I11" s="27" t="s">
        <v>139</v>
      </c>
      <c r="J11" s="28" t="n">
        <f aca="false">IF(E11=0,0,F11/E11)</f>
        <v>0.8</v>
      </c>
    </row>
    <row r="12" customFormat="false" ht="27.75" hidden="false" customHeight="true" outlineLevel="0" collapsed="false">
      <c r="A12" s="25" t="n">
        <v>8</v>
      </c>
      <c r="B12" s="12" t="s">
        <v>144</v>
      </c>
      <c r="C12" s="7" t="s">
        <v>52</v>
      </c>
      <c r="D12" s="12" t="s">
        <v>145</v>
      </c>
      <c r="E12" s="26" t="n">
        <v>0.4</v>
      </c>
      <c r="F12" s="26" t="n">
        <v>0.6</v>
      </c>
      <c r="G12" s="22" t="s">
        <v>127</v>
      </c>
      <c r="H12" s="11" t="n">
        <v>3</v>
      </c>
      <c r="I12" s="27" t="s">
        <v>139</v>
      </c>
      <c r="J12" s="28" t="n">
        <f aca="false">IF(E12=0,0,F12/E12)</f>
        <v>1.5</v>
      </c>
    </row>
    <row r="13" customFormat="false" ht="27.75" hidden="false" customHeight="true" outlineLevel="0" collapsed="false">
      <c r="A13" s="25" t="n">
        <v>9</v>
      </c>
      <c r="B13" s="12" t="s">
        <v>146</v>
      </c>
      <c r="C13" s="7" t="s">
        <v>48</v>
      </c>
      <c r="D13" s="12" t="s">
        <v>147</v>
      </c>
      <c r="E13" s="26" t="n">
        <v>0.4</v>
      </c>
      <c r="F13" s="26" t="n">
        <v>0.3</v>
      </c>
      <c r="G13" s="22" t="s">
        <v>131</v>
      </c>
      <c r="H13" s="11" t="n">
        <v>4</v>
      </c>
      <c r="I13" s="27" t="s">
        <v>139</v>
      </c>
      <c r="J13" s="28" t="n">
        <f aca="false">IF(E13=0,0,F13/E13)</f>
        <v>0.75</v>
      </c>
    </row>
    <row r="14" customFormat="false" ht="27.75" hidden="false" customHeight="true" outlineLevel="0" collapsed="false">
      <c r="A14" s="25" t="n">
        <v>10</v>
      </c>
      <c r="B14" s="12" t="s">
        <v>148</v>
      </c>
      <c r="C14" s="7" t="s">
        <v>36</v>
      </c>
      <c r="D14" s="12" t="s">
        <v>149</v>
      </c>
      <c r="E14" s="26" t="n">
        <v>0.2</v>
      </c>
      <c r="F14" s="26" t="n">
        <v>0.2</v>
      </c>
      <c r="G14" s="22" t="s">
        <v>131</v>
      </c>
      <c r="H14" s="11" t="n">
        <v>2</v>
      </c>
      <c r="I14" s="27" t="s">
        <v>139</v>
      </c>
      <c r="J14" s="28" t="n">
        <f aca="false">IF(E14=0,0,F14/E14)</f>
        <v>1</v>
      </c>
    </row>
    <row r="15" customFormat="false" ht="15" hidden="false" customHeight="false" outlineLevel="0" collapsed="false">
      <c r="B15" s="13" t="s">
        <v>150</v>
      </c>
      <c r="E15" s="29" t="n">
        <f aca="false">SUMIFS(E5:E14,I5:I14,"Yes")</f>
        <v>6</v>
      </c>
      <c r="F15" s="29" t="n">
        <f aca="false">SUMIFS(F5:F14,I5:I14,"Yes")</f>
        <v>4.5</v>
      </c>
      <c r="I15" s="30" t="n">
        <f aca="false">COUNTIF(I5:I14,"Yes")</f>
        <v>4</v>
      </c>
    </row>
    <row r="16" customFormat="false" ht="15" hidden="false" customHeight="false" outlineLevel="0" collapsed="false">
      <c r="B16" s="13" t="s">
        <v>151</v>
      </c>
      <c r="E16" s="29" t="n">
        <f aca="false">SUM(E5:E14)</f>
        <v>8.4</v>
      </c>
      <c r="F16" s="29" t="n">
        <f aca="false">SUM(F5:F14)</f>
        <v>6.9</v>
      </c>
    </row>
    <row r="18" customFormat="false" ht="15" hidden="false" customHeight="false" outlineLevel="0" collapsed="false">
      <c r="A18" s="2" t="s">
        <v>152</v>
      </c>
    </row>
  </sheetData>
  <dataValidations count="1">
    <dataValidation allowBlank="false" errorStyle="stop" operator="between" showDropDown="false" showErrorMessage="false" showInputMessage="false" sqref="I5:I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10" min="8" style="0" width="12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154</v>
      </c>
      <c r="C3" s="31" t="n">
        <f aca="false">C19</f>
        <v>15</v>
      </c>
      <c r="D3" s="32" t="s">
        <v>155</v>
      </c>
      <c r="E3" s="33" t="n">
        <v>15</v>
      </c>
      <c r="F3" s="34" t="str">
        <f aca="false">IF(ABS(C3-E3)&lt;0.0001,"Within envelope","Differs from envelope")</f>
        <v>Within envelope</v>
      </c>
      <c r="G3" s="34"/>
      <c r="H3" s="34"/>
    </row>
    <row r="5" customFormat="false" ht="42" hidden="false" customHeight="true" outlineLevel="0" collapsed="false">
      <c r="A5" s="6" t="s">
        <v>156</v>
      </c>
      <c r="B5" s="6" t="s">
        <v>157</v>
      </c>
      <c r="C5" s="6" t="s">
        <v>158</v>
      </c>
      <c r="D5" s="6" t="s">
        <v>159</v>
      </c>
      <c r="E5" s="6" t="s">
        <v>160</v>
      </c>
      <c r="F5" s="6" t="s">
        <v>161</v>
      </c>
      <c r="G5" s="6" t="s">
        <v>162</v>
      </c>
      <c r="H5" s="6" t="s">
        <v>163</v>
      </c>
      <c r="I5" s="6" t="s">
        <v>164</v>
      </c>
      <c r="J5" s="6" t="s">
        <v>165</v>
      </c>
    </row>
    <row r="6" customFormat="false" ht="15" hidden="false" customHeight="false" outlineLevel="0" collapsed="false">
      <c r="A6" s="35" t="s">
        <v>166</v>
      </c>
      <c r="B6" s="36"/>
      <c r="C6" s="37" t="n">
        <f aca="false">SUM(C7:C10)</f>
        <v>8</v>
      </c>
      <c r="D6" s="36"/>
      <c r="E6" s="36"/>
      <c r="F6" s="36"/>
      <c r="G6" s="36"/>
      <c r="H6" s="37" t="n">
        <f aca="false">SUM(H7:H10)</f>
        <v>3.91</v>
      </c>
      <c r="I6" s="37" t="n">
        <f aca="false">SUM(I7:I10)</f>
        <v>3.11</v>
      </c>
      <c r="J6" s="37" t="n">
        <f aca="false">SUM(J7:J10)</f>
        <v>0.98</v>
      </c>
    </row>
    <row r="7" customFormat="false" ht="30" hidden="false" customHeight="true" outlineLevel="0" collapsed="false">
      <c r="A7" s="12" t="s">
        <v>167</v>
      </c>
      <c r="B7" s="12" t="s">
        <v>168</v>
      </c>
      <c r="C7" s="26" t="n">
        <v>3.5</v>
      </c>
      <c r="D7" s="19" t="n">
        <v>0.6</v>
      </c>
      <c r="E7" s="19" t="n">
        <v>0.4</v>
      </c>
      <c r="F7" s="19" t="n">
        <v>0</v>
      </c>
      <c r="G7" s="22" t="str">
        <f aca="false">IF(ABS(SUM(D7:F7)-1)&lt;0.0001,"OK","Check")</f>
        <v>OK</v>
      </c>
      <c r="H7" s="38" t="n">
        <f aca="false">C7*D7</f>
        <v>2.1</v>
      </c>
      <c r="I7" s="38" t="n">
        <f aca="false">C7*E7</f>
        <v>1.4</v>
      </c>
      <c r="J7" s="38" t="n">
        <f aca="false">C7*F7</f>
        <v>0</v>
      </c>
    </row>
    <row r="8" customFormat="false" ht="30" hidden="false" customHeight="true" outlineLevel="0" collapsed="false">
      <c r="A8" s="12" t="s">
        <v>169</v>
      </c>
      <c r="B8" s="12" t="s">
        <v>170</v>
      </c>
      <c r="C8" s="26" t="n">
        <v>2.8</v>
      </c>
      <c r="D8" s="19" t="n">
        <v>0.4</v>
      </c>
      <c r="E8" s="19" t="n">
        <v>0.4</v>
      </c>
      <c r="F8" s="19" t="n">
        <v>0.2</v>
      </c>
      <c r="G8" s="22" t="str">
        <f aca="false">IF(ABS(SUM(D8:F8)-1)&lt;0.0001,"OK","Check")</f>
        <v>OK</v>
      </c>
      <c r="H8" s="38" t="n">
        <f aca="false">C8*D8</f>
        <v>1.12</v>
      </c>
      <c r="I8" s="38" t="n">
        <f aca="false">C8*E8</f>
        <v>1.12</v>
      </c>
      <c r="J8" s="38" t="n">
        <f aca="false">C8*F8</f>
        <v>0.56</v>
      </c>
    </row>
    <row r="9" customFormat="false" ht="30" hidden="false" customHeight="true" outlineLevel="0" collapsed="false">
      <c r="A9" s="12" t="s">
        <v>171</v>
      </c>
      <c r="B9" s="12" t="s">
        <v>172</v>
      </c>
      <c r="C9" s="26" t="n">
        <v>0.9</v>
      </c>
      <c r="D9" s="19" t="n">
        <v>0.5</v>
      </c>
      <c r="E9" s="19" t="n">
        <v>0.3</v>
      </c>
      <c r="F9" s="19" t="n">
        <v>0.2</v>
      </c>
      <c r="G9" s="22" t="str">
        <f aca="false">IF(ABS(SUM(D9:F9)-1)&lt;0.0001,"OK","Check")</f>
        <v>OK</v>
      </c>
      <c r="H9" s="38" t="n">
        <f aca="false">C9*D9</f>
        <v>0.45</v>
      </c>
      <c r="I9" s="38" t="n">
        <f aca="false">C9*E9</f>
        <v>0.27</v>
      </c>
      <c r="J9" s="38" t="n">
        <f aca="false">C9*F9</f>
        <v>0.18</v>
      </c>
    </row>
    <row r="10" customFormat="false" ht="30" hidden="false" customHeight="true" outlineLevel="0" collapsed="false">
      <c r="A10" s="12" t="s">
        <v>173</v>
      </c>
      <c r="B10" s="12" t="s">
        <v>174</v>
      </c>
      <c r="C10" s="26" t="n">
        <v>0.8</v>
      </c>
      <c r="D10" s="19" t="n">
        <v>0.3</v>
      </c>
      <c r="E10" s="19" t="n">
        <v>0.4</v>
      </c>
      <c r="F10" s="19" t="n">
        <v>0.3</v>
      </c>
      <c r="G10" s="22" t="str">
        <f aca="false">IF(ABS(SUM(D10:F10)-1)&lt;0.0001,"OK","Check")</f>
        <v>OK</v>
      </c>
      <c r="H10" s="38" t="n">
        <f aca="false">C10*D10</f>
        <v>0.24</v>
      </c>
      <c r="I10" s="38" t="n">
        <f aca="false">C10*E10</f>
        <v>0.32</v>
      </c>
      <c r="J10" s="38" t="n">
        <f aca="false">C10*F10</f>
        <v>0.24</v>
      </c>
    </row>
    <row r="11" customFormat="false" ht="15" hidden="false" customHeight="false" outlineLevel="0" collapsed="false">
      <c r="A11" s="35" t="s">
        <v>175</v>
      </c>
      <c r="B11" s="36"/>
      <c r="C11" s="37" t="n">
        <f aca="false">SUM(C12:C14)</f>
        <v>1.5</v>
      </c>
      <c r="D11" s="36"/>
      <c r="E11" s="36"/>
      <c r="F11" s="36"/>
      <c r="G11" s="36"/>
      <c r="H11" s="37" t="n">
        <f aca="false">SUM(H12:H14)</f>
        <v>0.88</v>
      </c>
      <c r="I11" s="37" t="n">
        <f aca="false">SUM(I12:I14)</f>
        <v>0.47</v>
      </c>
      <c r="J11" s="37" t="n">
        <f aca="false">SUM(J12:J14)</f>
        <v>0.15</v>
      </c>
    </row>
    <row r="12" customFormat="false" ht="30" hidden="false" customHeight="true" outlineLevel="0" collapsed="false">
      <c r="A12" s="12" t="s">
        <v>176</v>
      </c>
      <c r="B12" s="12" t="s">
        <v>177</v>
      </c>
      <c r="C12" s="26" t="n">
        <v>0.6</v>
      </c>
      <c r="D12" s="19" t="n">
        <v>0.8</v>
      </c>
      <c r="E12" s="19" t="n">
        <v>0.2</v>
      </c>
      <c r="F12" s="19" t="n">
        <v>0</v>
      </c>
      <c r="G12" s="22" t="str">
        <f aca="false">IF(ABS(SUM(D12:F12)-1)&lt;0.0001,"OK","Check")</f>
        <v>OK</v>
      </c>
      <c r="H12" s="38" t="n">
        <f aca="false">C12*D12</f>
        <v>0.48</v>
      </c>
      <c r="I12" s="38" t="n">
        <f aca="false">C12*E12</f>
        <v>0.12</v>
      </c>
      <c r="J12" s="38" t="n">
        <f aca="false">C12*F12</f>
        <v>0</v>
      </c>
    </row>
    <row r="13" customFormat="false" ht="30" hidden="false" customHeight="true" outlineLevel="0" collapsed="false">
      <c r="A13" s="12" t="s">
        <v>178</v>
      </c>
      <c r="B13" s="12" t="s">
        <v>179</v>
      </c>
      <c r="C13" s="26" t="n">
        <v>0.4</v>
      </c>
      <c r="D13" s="19" t="n">
        <v>0.5</v>
      </c>
      <c r="E13" s="19" t="n">
        <v>0.5</v>
      </c>
      <c r="F13" s="19" t="n">
        <v>0</v>
      </c>
      <c r="G13" s="22" t="str">
        <f aca="false">IF(ABS(SUM(D13:F13)-1)&lt;0.0001,"OK","Check")</f>
        <v>OK</v>
      </c>
      <c r="H13" s="38" t="n">
        <f aca="false">C13*D13</f>
        <v>0.2</v>
      </c>
      <c r="I13" s="38" t="n">
        <f aca="false">C13*E13</f>
        <v>0.2</v>
      </c>
      <c r="J13" s="38" t="n">
        <f aca="false">C13*F13</f>
        <v>0</v>
      </c>
    </row>
    <row r="14" customFormat="false" ht="30" hidden="false" customHeight="true" outlineLevel="0" collapsed="false">
      <c r="A14" s="12" t="s">
        <v>180</v>
      </c>
      <c r="B14" s="12" t="s">
        <v>181</v>
      </c>
      <c r="C14" s="26" t="n">
        <v>0.5</v>
      </c>
      <c r="D14" s="19" t="n">
        <v>0.4</v>
      </c>
      <c r="E14" s="19" t="n">
        <v>0.3</v>
      </c>
      <c r="F14" s="19" t="n">
        <v>0.3</v>
      </c>
      <c r="G14" s="22" t="str">
        <f aca="false">IF(ABS(SUM(D14:F14)-1)&lt;0.0001,"OK","Check")</f>
        <v>OK</v>
      </c>
      <c r="H14" s="38" t="n">
        <f aca="false">C14*D14</f>
        <v>0.2</v>
      </c>
      <c r="I14" s="38" t="n">
        <f aca="false">C14*E14</f>
        <v>0.15</v>
      </c>
      <c r="J14" s="38" t="n">
        <f aca="false">C14*F14</f>
        <v>0.15</v>
      </c>
    </row>
    <row r="15" customFormat="false" ht="15" hidden="false" customHeight="false" outlineLevel="0" collapsed="false">
      <c r="A15" s="35" t="s">
        <v>182</v>
      </c>
      <c r="B15" s="36"/>
      <c r="C15" s="37" t="n">
        <f aca="false">SUM(C16:C16)</f>
        <v>4.5</v>
      </c>
      <c r="D15" s="36"/>
      <c r="E15" s="36"/>
      <c r="F15" s="36"/>
      <c r="G15" s="36"/>
      <c r="H15" s="37" t="n">
        <f aca="false">SUM(H16:H16)</f>
        <v>0.9</v>
      </c>
      <c r="I15" s="37" t="n">
        <f aca="false">SUM(I16:I16)</f>
        <v>2.25</v>
      </c>
      <c r="J15" s="37" t="n">
        <f aca="false">SUM(J16:J16)</f>
        <v>1.35</v>
      </c>
    </row>
    <row r="16" customFormat="false" ht="30" hidden="false" customHeight="true" outlineLevel="0" collapsed="false">
      <c r="A16" s="12" t="s">
        <v>183</v>
      </c>
      <c r="B16" s="12" t="s">
        <v>184</v>
      </c>
      <c r="C16" s="39" t="n">
        <f aca="false">'Use Cases'!F15</f>
        <v>4.5</v>
      </c>
      <c r="D16" s="19" t="n">
        <v>0.2</v>
      </c>
      <c r="E16" s="19" t="n">
        <v>0.5</v>
      </c>
      <c r="F16" s="19" t="n">
        <v>0.3</v>
      </c>
      <c r="G16" s="22" t="str">
        <f aca="false">IF(ABS(SUM(D16:F16)-1)&lt;0.0001,"OK","Check")</f>
        <v>OK</v>
      </c>
      <c r="H16" s="38" t="n">
        <f aca="false">C16*D16</f>
        <v>0.9</v>
      </c>
      <c r="I16" s="38" t="n">
        <f aca="false">C16*E16</f>
        <v>2.25</v>
      </c>
      <c r="J16" s="38" t="n">
        <f aca="false">C16*F16</f>
        <v>1.35</v>
      </c>
    </row>
    <row r="17" customFormat="false" ht="15" hidden="false" customHeight="false" outlineLevel="0" collapsed="false">
      <c r="A17" s="35" t="s">
        <v>185</v>
      </c>
      <c r="B17" s="36"/>
      <c r="C17" s="37" t="n">
        <f aca="false">SUM(C18:C18)</f>
        <v>1</v>
      </c>
      <c r="D17" s="36"/>
      <c r="E17" s="36"/>
      <c r="F17" s="36"/>
      <c r="G17" s="36"/>
      <c r="H17" s="37" t="n">
        <f aca="false">SUM(H18:H18)</f>
        <v>0</v>
      </c>
      <c r="I17" s="37" t="n">
        <f aca="false">SUM(I18:I18)</f>
        <v>0.5</v>
      </c>
      <c r="J17" s="37" t="n">
        <f aca="false">SUM(J18:J18)</f>
        <v>0.5</v>
      </c>
    </row>
    <row r="18" customFormat="false" ht="30" hidden="false" customHeight="true" outlineLevel="0" collapsed="false">
      <c r="A18" s="12" t="s">
        <v>186</v>
      </c>
      <c r="B18" s="12" t="s">
        <v>187</v>
      </c>
      <c r="C18" s="26" t="n">
        <v>1</v>
      </c>
      <c r="D18" s="19" t="n">
        <v>0</v>
      </c>
      <c r="E18" s="19" t="n">
        <v>0.5</v>
      </c>
      <c r="F18" s="19" t="n">
        <v>0.5</v>
      </c>
      <c r="G18" s="22" t="str">
        <f aca="false">IF(ABS(SUM(D18:F18)-1)&lt;0.0001,"OK","Check")</f>
        <v>OK</v>
      </c>
      <c r="H18" s="38" t="n">
        <f aca="false">C18*D18</f>
        <v>0</v>
      </c>
      <c r="I18" s="38" t="n">
        <f aca="false">C18*E18</f>
        <v>0.5</v>
      </c>
      <c r="J18" s="38" t="n">
        <f aca="false">C18*F18</f>
        <v>0.5</v>
      </c>
    </row>
    <row r="19" customFormat="false" ht="15" hidden="false" customHeight="false" outlineLevel="0" collapsed="false">
      <c r="A19" s="13" t="s">
        <v>188</v>
      </c>
      <c r="B19" s="18"/>
      <c r="C19" s="29" t="n">
        <f aca="false">SUM(C7,C8,C9,C10,C12,C13,C14,C16,C18)</f>
        <v>15</v>
      </c>
      <c r="D19" s="18"/>
      <c r="E19" s="18"/>
      <c r="F19" s="18"/>
      <c r="G19" s="40" t="str">
        <f aca="false">IF(ABS(H19+I19+J19-C19)&lt;0.0001,"OK","Check")</f>
        <v>OK</v>
      </c>
      <c r="H19" s="29" t="n">
        <f aca="false">SUM(H7,H8,H9,H10,H12,H13,H14,H16,H18)</f>
        <v>5.69</v>
      </c>
      <c r="I19" s="29" t="n">
        <f aca="false">SUM(I7,I8,I9,I10,I12,I13,I14,I16,I18)</f>
        <v>6.33</v>
      </c>
      <c r="J19" s="29" t="n">
        <f aca="false">SUM(J7,J8,J9,J10,J12,J13,J14,J16,J18)</f>
        <v>2.98</v>
      </c>
    </row>
    <row r="21" customFormat="false" ht="15" hidden="false" customHeight="false" outlineLevel="0" collapsed="false">
      <c r="A21" s="35" t="s">
        <v>189</v>
      </c>
      <c r="B21" s="36"/>
      <c r="C21" s="36"/>
    </row>
    <row r="22" customFormat="false" ht="15" hidden="false" customHeight="false" outlineLevel="0" collapsed="false">
      <c r="A22" s="7" t="s">
        <v>190</v>
      </c>
      <c r="C22" s="39" t="n">
        <f aca="false">'Use Cases'!E15</f>
        <v>6</v>
      </c>
    </row>
    <row r="23" customFormat="false" ht="15" hidden="false" customHeight="false" outlineLevel="0" collapsed="false">
      <c r="A23" s="7" t="s">
        <v>191</v>
      </c>
      <c r="C23" s="28" t="n">
        <f aca="false">IF(C22=0,0,C19/C22)</f>
        <v>2.5</v>
      </c>
    </row>
    <row r="24" customFormat="false" ht="15" hidden="false" customHeight="false" outlineLevel="0" collapsed="false">
      <c r="A24" s="7" t="s">
        <v>192</v>
      </c>
      <c r="C24" s="9" t="n">
        <f aca="false">IF(C19=0,0,C6/C19)</f>
        <v>0.533333333333333</v>
      </c>
    </row>
    <row r="26" customFormat="false" ht="15" hidden="false" customHeight="false" outlineLevel="0" collapsed="false">
      <c r="A26" s="2" t="s">
        <v>193</v>
      </c>
    </row>
  </sheetData>
  <mergeCells count="1">
    <mergeCell ref="F3:H3"/>
  </mergeCells>
  <conditionalFormatting sqref="G6:G19">
    <cfRule type="cellIs" priority="2" operator="equal" aboveAverage="0" equalAverage="0" bottom="0" percent="0" rank="0" text="" dxfId="0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66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2" t="s">
        <v>195</v>
      </c>
    </row>
    <row r="4" customFormat="false" ht="42" hidden="false" customHeight="true" outlineLevel="0" collapsed="false">
      <c r="A4" s="6" t="s">
        <v>87</v>
      </c>
      <c r="B4" s="6" t="s">
        <v>196</v>
      </c>
      <c r="C4" s="6" t="s">
        <v>197</v>
      </c>
      <c r="D4" s="6" t="s">
        <v>198</v>
      </c>
      <c r="E4" s="6" t="s">
        <v>199</v>
      </c>
    </row>
    <row r="5" customFormat="false" ht="25.5" hidden="false" customHeight="true" outlineLevel="0" collapsed="false">
      <c r="A5" s="7" t="s">
        <v>200</v>
      </c>
      <c r="B5" s="20" t="n">
        <f aca="false">'Adoption by Business Line'!D15</f>
        <v>0.132307692307692</v>
      </c>
      <c r="C5" s="21" t="n">
        <v>0.6</v>
      </c>
      <c r="D5" s="41" t="n">
        <f aca="false">C5-B5</f>
        <v>0.467692307692308</v>
      </c>
      <c r="E5" s="12" t="s">
        <v>201</v>
      </c>
    </row>
    <row r="6" customFormat="false" ht="25.5" hidden="false" customHeight="true" outlineLevel="0" collapsed="false">
      <c r="A6" s="7" t="s">
        <v>202</v>
      </c>
      <c r="B6" s="20" t="n">
        <f aca="false">'Adoption by Business Line'!F15</f>
        <v>0.414728682170543</v>
      </c>
      <c r="C6" s="21" t="n">
        <v>0.6</v>
      </c>
      <c r="D6" s="41" t="n">
        <f aca="false">C6-B6</f>
        <v>0.185271317829457</v>
      </c>
      <c r="E6" s="12" t="s">
        <v>203</v>
      </c>
    </row>
    <row r="7" customFormat="false" ht="25.5" hidden="false" customHeight="true" outlineLevel="0" collapsed="false">
      <c r="A7" s="7" t="s">
        <v>29</v>
      </c>
      <c r="B7" s="42" t="n">
        <f aca="false">'Adoption by Business Line'!J15</f>
        <v>7</v>
      </c>
      <c r="C7" s="43" t="n">
        <v>15</v>
      </c>
      <c r="D7" s="44" t="n">
        <f aca="false">C7-B7</f>
        <v>8</v>
      </c>
      <c r="E7" s="12" t="s">
        <v>204</v>
      </c>
    </row>
    <row r="8" customFormat="false" ht="25.5" hidden="false" customHeight="true" outlineLevel="0" collapsed="false">
      <c r="A8" s="7" t="s">
        <v>30</v>
      </c>
      <c r="B8" s="20" t="n">
        <f aca="false">'Adoption by Business Line'!K15</f>
        <v>0.212121212121212</v>
      </c>
      <c r="C8" s="21" t="n">
        <v>0.4</v>
      </c>
      <c r="D8" s="41" t="n">
        <f aca="false">C8-B8</f>
        <v>0.187878787878788</v>
      </c>
      <c r="E8" s="12" t="s">
        <v>205</v>
      </c>
    </row>
    <row r="9" customFormat="false" ht="25.5" hidden="false" customHeight="true" outlineLevel="0" collapsed="false">
      <c r="A9" s="7" t="s">
        <v>206</v>
      </c>
      <c r="B9" s="45" t="n">
        <f aca="false">Readiness!B7</f>
        <v>1</v>
      </c>
      <c r="C9" s="11" t="n">
        <v>4</v>
      </c>
      <c r="D9" s="44" t="n">
        <f aca="false">C9-B9</f>
        <v>3</v>
      </c>
      <c r="E9" s="12" t="s">
        <v>207</v>
      </c>
    </row>
    <row r="10" customFormat="false" ht="25.5" hidden="false" customHeight="true" outlineLevel="0" collapsed="false">
      <c r="A10" s="7" t="s">
        <v>208</v>
      </c>
      <c r="B10" s="45" t="n">
        <f aca="false">Readiness!B8</f>
        <v>2</v>
      </c>
      <c r="C10" s="11" t="n">
        <v>4</v>
      </c>
      <c r="D10" s="44" t="n">
        <f aca="false">C10-B10</f>
        <v>2</v>
      </c>
      <c r="E10" s="12" t="s">
        <v>209</v>
      </c>
    </row>
    <row r="11" customFormat="false" ht="25.5" hidden="false" customHeight="true" outlineLevel="0" collapsed="false">
      <c r="A11" s="7" t="s">
        <v>210</v>
      </c>
      <c r="B11" s="45" t="n">
        <f aca="false">Readiness!B9</f>
        <v>2</v>
      </c>
      <c r="C11" s="11" t="n">
        <v>3</v>
      </c>
      <c r="D11" s="44" t="n">
        <f aca="false">C11-B11</f>
        <v>1</v>
      </c>
      <c r="E11" s="12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2026-10-25T12:23:45Z</dcterms:created>
  <dc:creator>openpyxl</dc:creator>
  <dc:description/>
  <dc:language>en-US</dc:language>
  <cp:lastModifiedBy/>
  <dcterms:modified xsi:type="dcterms:W3CDTF">2026-10-25T12:23:45Z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